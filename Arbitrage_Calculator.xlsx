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itrag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000"/>
    <numFmt numFmtId="166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555555"/>
      <sz val="9"/>
    </font>
    <font>
      <name val="Segoe UI"/>
      <b val="1"/>
      <sz val="11"/>
    </font>
  </fonts>
  <fills count="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3F51B5"/>
        <bgColor rgb="003F51B5"/>
      </patternFill>
    </fill>
    <fill>
      <patternFill patternType="solid">
        <fgColor rgb="00ECEFF1"/>
        <bgColor rgb="00ECEFF1"/>
      </patternFill>
    </fill>
    <fill>
      <patternFill patternType="solid">
        <fgColor rgb="00F1F8E9"/>
        <bgColor rgb="00F1F8E9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4" borderId="1" applyAlignment="1" pivotButton="0" quotePrefix="0" xfId="0">
      <alignment horizontal="right"/>
    </xf>
    <xf numFmtId="0" fontId="5" fillId="0" borderId="1" pivotButton="0" quotePrefix="0" xfId="0"/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0" fontId="4" fillId="4" borderId="1" applyAlignment="1" pivotButton="0" quotePrefix="0" xfId="0">
      <alignment horizontal="right"/>
    </xf>
    <xf numFmtId="10" fontId="3" fillId="5" borderId="1" applyAlignment="1" pivotButton="0" quotePrefix="0" xfId="0">
      <alignment horizontal="right"/>
    </xf>
    <xf numFmtId="165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6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right"/>
    </xf>
    <xf numFmtId="0" fontId="6" fillId="0" borderId="1" pivotButton="0" quotePrefix="0" xfId="0"/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75" customWidth="1" min="3" max="3"/>
  </cols>
  <sheetData>
    <row r="1" ht="40" customHeight="1">
      <c r="A1" s="1" t="inlineStr">
        <is>
          <t>Калькулятор арбитража ставок финансирования</t>
        </is>
      </c>
    </row>
    <row r="2" ht="24" customHeight="1">
      <c r="A2" s="2" t="inlineStr">
        <is>
          <t>1. ВХОДНЫЕ ДАННЫЕ (Заполнять вручную)</t>
        </is>
      </c>
    </row>
    <row r="3" ht="20" customHeight="1">
      <c r="A3" s="3" t="inlineStr">
        <is>
          <t>Монета</t>
        </is>
      </c>
      <c r="B3" s="4" t="inlineStr">
        <is>
          <t>HOME</t>
        </is>
      </c>
      <c r="C3" s="5" t="inlineStr">
        <is>
          <t>Тикер монеты (напр. HOME, BEAT)</t>
        </is>
      </c>
    </row>
    <row r="4" ht="20" customHeight="1">
      <c r="A4" s="3" t="inlineStr">
        <is>
          <t>Тип арбитража</t>
        </is>
      </c>
      <c r="B4" s="4" t="inlineStr">
        <is>
          <t>Спот-Фьючерс</t>
        </is>
      </c>
      <c r="C4" s="5" t="inlineStr">
        <is>
          <t>Фьючерс-Фьючерс или Спот-Фьючерс</t>
        </is>
      </c>
    </row>
    <row r="5" ht="20" customHeight="1">
      <c r="A5" s="3" t="inlineStr">
        <is>
          <t>Ваш общий капитал (USDT)</t>
        </is>
      </c>
      <c r="B5" s="6" t="n">
        <v>1000</v>
      </c>
      <c r="C5" s="5" t="inlineStr">
        <is>
          <t>Сумма, выделенная на обе стороны вместе</t>
        </is>
      </c>
    </row>
    <row r="6" ht="20" customHeight="1">
      <c r="A6" s="3" t="inlineStr">
        <is>
          <t>Плечо (Leverage)</t>
        </is>
      </c>
      <c r="B6" s="4" t="n">
        <v>3</v>
      </c>
      <c r="C6" s="5" t="inlineStr">
        <is>
          <t>Рабочее кредитное плечо на фьючерсах (рекомендуется 2-3)</t>
        </is>
      </c>
    </row>
    <row r="7" ht="20" customHeight="1">
      <c r="A7" s="3" t="inlineStr">
        <is>
          <t>Открытый интерес в USD (OI)</t>
        </is>
      </c>
      <c r="B7" s="6" t="n">
        <v>8970000</v>
      </c>
      <c r="C7" s="5" t="inlineStr">
        <is>
          <t>Сумма всех открытых позиций на бирже фьючерсов</t>
        </is>
      </c>
    </row>
    <row r="8" ht="20" customHeight="1">
      <c r="A8" s="3" t="inlineStr">
        <is>
          <t>Суточный объем торгов (24h Vol)</t>
        </is>
      </c>
      <c r="B8" s="6" t="n">
        <v>11020000</v>
      </c>
      <c r="C8" s="5" t="inlineStr">
        <is>
          <t>24-часовой объем торгов на фьючерсной бирже в USD</t>
        </is>
      </c>
    </row>
    <row r="9" ht="20" customHeight="1">
      <c r="A9" s="3" t="inlineStr">
        <is>
          <t>Биржа А - Лучший BUY (Bid) цена</t>
        </is>
      </c>
      <c r="B9" s="7" t="n">
        <v>0.02984</v>
      </c>
      <c r="C9" s="5" t="inlineStr">
        <is>
          <t>Лучшая цена покупки лимитным ордером (покупатели) на Бирже А</t>
        </is>
      </c>
    </row>
    <row r="10" ht="20" customHeight="1">
      <c r="A10" s="3" t="inlineStr">
        <is>
          <t>Биржа А - Лучший SELL (Ask) цена</t>
        </is>
      </c>
      <c r="B10" s="7" t="n">
        <v>0.02986</v>
      </c>
      <c r="C10" s="5" t="inlineStr">
        <is>
          <t>Лучшая цена продажи лимитным ордером (продавцы) на Бирже А</t>
        </is>
      </c>
    </row>
    <row r="11" ht="20" customHeight="1">
      <c r="A11" s="3" t="inlineStr">
        <is>
          <t>Биржа Б - Лучший BUY (Bid) цена</t>
        </is>
      </c>
      <c r="B11" s="7" t="n">
        <v>0.02985</v>
      </c>
      <c r="C11" s="5" t="inlineStr">
        <is>
          <t>Лучшая цена покупки лимитным ордером (покупатели) на Бирже Б</t>
        </is>
      </c>
    </row>
    <row r="12" ht="20" customHeight="1">
      <c r="A12" s="3" t="inlineStr">
        <is>
          <t>Биржа Б - Лучший SELL (Ask) цена</t>
        </is>
      </c>
      <c r="B12" s="7" t="n">
        <v>0.02987</v>
      </c>
      <c r="C12" s="5" t="inlineStr">
        <is>
          <t>Лучшая цена продажи лимитным ордером (продавцы) на Бирже Б</t>
        </is>
      </c>
    </row>
    <row r="13" ht="20" customHeight="1">
      <c r="A13" s="3" t="inlineStr">
        <is>
          <t>Ставка фандинга Биржи А / Спота (%)</t>
        </is>
      </c>
      <c r="B13" s="8" t="n">
        <v>0</v>
      </c>
      <c r="C13" s="5" t="inlineStr">
        <is>
          <t>Ставка фандинга в % (для спота = 0)</t>
        </is>
      </c>
    </row>
    <row r="14" ht="20" customHeight="1">
      <c r="A14" s="3" t="inlineStr">
        <is>
          <t>Ставка фандинга Биржи Б / Фьюч (%)</t>
        </is>
      </c>
      <c r="B14" s="8" t="n">
        <v>-0.006031</v>
      </c>
      <c r="C14" s="5" t="inlineStr">
        <is>
          <t>Ставка фандинга в % на второй бирже (e.g. -0.6031% = -0.006031)</t>
        </is>
      </c>
    </row>
    <row r="15" ht="20" customHeight="1">
      <c r="A15" s="3" t="inlineStr">
        <is>
          <t>Интервал фандинга Биржи А (часы)</t>
        </is>
      </c>
      <c r="B15" s="4" t="n">
        <v>8</v>
      </c>
      <c r="C15" s="5" t="inlineStr">
        <is>
          <t>Интервал списания фандинга на первой бирже (для спота = 8)</t>
        </is>
      </c>
    </row>
    <row r="16" ht="20" customHeight="1">
      <c r="A16" s="3" t="inlineStr">
        <is>
          <t>Интервал фандинга Биржи Б (часы)</t>
        </is>
      </c>
      <c r="B16" s="4" t="n">
        <v>8</v>
      </c>
      <c r="C16" s="5" t="inlineStr">
        <is>
          <t>Интервал списания фандинга на фьючерсах (обычно 8, 4 или 1)</t>
        </is>
      </c>
    </row>
    <row r="17" ht="10" customHeight="1"/>
    <row r="18" ht="24" customHeight="1">
      <c r="A18" s="2" t="inlineStr">
        <is>
          <t>2. АВТОМАТИЧЕСКИЕ РАСЧЕТЫ</t>
        </is>
      </c>
    </row>
    <row r="19" ht="20" customHeight="1">
      <c r="A19" s="3" t="inlineStr">
        <is>
          <t>Спред в стакане Биржи А (%)</t>
        </is>
      </c>
      <c r="B19" s="9">
        <f>(B10-B9)/B9</f>
        <v/>
      </c>
      <c r="C19" s="5" t="inlineStr">
        <is>
          <t>Спред в стакане Биржи А: (Ask - Bid) / Bid</t>
        </is>
      </c>
    </row>
    <row r="20" ht="20" customHeight="1">
      <c r="A20" s="3" t="inlineStr">
        <is>
          <t>Спред в стакане Биржи Б (%)</t>
        </is>
      </c>
      <c r="B20" s="9">
        <f>(B12-B11)/B11</f>
        <v/>
      </c>
      <c r="C20" s="5" t="inlineStr">
        <is>
          <t>Спред в стакане Биржи Б: (Ask - Bid) / Bid</t>
        </is>
      </c>
    </row>
    <row r="21" ht="20" customHeight="1">
      <c r="A21" s="3" t="inlineStr">
        <is>
          <t>Цена входа на Бирже А (Покупка)</t>
        </is>
      </c>
      <c r="B21" s="10">
        <f>B10</f>
        <v/>
      </c>
      <c r="C21" s="5" t="inlineStr">
        <is>
          <t>Вы покупаете по цене лучшей продажи (Ask)</t>
        </is>
      </c>
    </row>
    <row r="22" ht="20" customHeight="1">
      <c r="A22" s="3" t="inlineStr">
        <is>
          <t>Цена входа на Бирже Б (Шорт/Продажа)</t>
        </is>
      </c>
      <c r="B22" s="10">
        <f>B11</f>
        <v/>
      </c>
      <c r="C22" s="5" t="inlineStr">
        <is>
          <t>Вы продаете по цене лучшей покупки (Bid)</t>
        </is>
      </c>
    </row>
    <row r="23" ht="20" customHeight="1">
      <c r="A23" s="3" t="inlineStr">
        <is>
          <t>Размер позиции на одну сторону (USD)</t>
        </is>
      </c>
      <c r="B23" s="11">
        <f>B5/2*B6</f>
        <v/>
      </c>
      <c r="C23" s="5" t="inlineStr">
        <is>
          <t>Капитал на одну сторону с учетом плеча (Капитал/2 * Плечо)</t>
        </is>
      </c>
    </row>
    <row r="24" ht="20" customHeight="1">
      <c r="A24" s="3" t="inlineStr">
        <is>
          <t>Доля в Открытом интересе (OI) (%)</t>
        </is>
      </c>
      <c r="B24" s="9">
        <f>B23/B7</f>
        <v/>
      </c>
      <c r="C24" s="5" t="inlineStr">
        <is>
          <t>Рекомендуется &lt; 0.5% (более 1% опасно для входа/выхода)</t>
        </is>
      </c>
    </row>
    <row r="25" ht="20" customHeight="1">
      <c r="A25" s="3" t="inlineStr">
        <is>
          <t>Доля в суточном объеме (%)</t>
        </is>
      </c>
      <c r="B25" s="11">
        <f>B23/B8</f>
        <v/>
      </c>
      <c r="C25" s="5" t="inlineStr">
        <is>
          <t>Рекомендуется &lt; 0.1% (более 0.2% приведет к проскальзыванию)</t>
        </is>
      </c>
    </row>
    <row r="26" ht="20" customHeight="1">
      <c r="A26" s="3" t="inlineStr">
        <is>
          <t>Межбиржевой спред цен (%)</t>
        </is>
      </c>
      <c r="B26" s="9">
        <f>(B22-B21)/B21</f>
        <v/>
      </c>
      <c r="C26" s="5" t="inlineStr">
        <is>
          <t>Разница цен между биржами (положительный спред — хорошо)</t>
        </is>
      </c>
    </row>
    <row r="27" ht="20" customHeight="1">
      <c r="A27" s="3" t="inlineStr">
        <is>
          <t>Ориентировочная комиссия на круг (%)</t>
        </is>
      </c>
      <c r="B27" s="9">
        <f>IF(B4="Фьючерс-Фьючерс", 0.002, 0.003)</f>
        <v/>
      </c>
      <c r="C27" s="5" t="inlineStr">
        <is>
          <t>Комиссия на открытие + закрытие позиций (Taker-fee)</t>
        </is>
      </c>
    </row>
    <row r="28" ht="20" customHeight="1">
      <c r="A28" s="3" t="inlineStr">
        <is>
          <t>Чистый спред с учетом комиссий (%)</t>
        </is>
      </c>
      <c r="B28" s="9">
        <f>B26-B27</f>
        <v/>
      </c>
      <c r="C28" s="5" t="inlineStr">
        <is>
          <t>Спред за вычетом торговых комиссий обеих бирж</t>
        </is>
      </c>
    </row>
    <row r="29" ht="20" customHeight="1">
      <c r="A29" s="3" t="inlineStr">
        <is>
          <t>Чистый фандинг в сутки (%)</t>
        </is>
      </c>
      <c r="B29" s="9">
        <f>24*((IF(B13&lt;0, ABS(B13), -B13)/B15) + (IF(B14&gt;0, B14, -ABS(B14))/B16))</f>
        <v/>
      </c>
      <c r="C29" s="5" t="inlineStr">
        <is>
          <t>Суточная чистая прибыль от фандинга (с учетом знака ставки)</t>
        </is>
      </c>
    </row>
    <row r="30" ht="20" customHeight="1">
      <c r="A30" s="3" t="inlineStr">
        <is>
          <t>Доход от фандинга в день (USD)</t>
        </is>
      </c>
      <c r="B30" s="11">
        <f>B23*B29</f>
        <v/>
      </c>
      <c r="C30" s="5" t="inlineStr">
        <is>
          <t>Прогнозируемая прибыль в день в долларах на ваш рабочий объем</t>
        </is>
      </c>
    </row>
    <row r="31" ht="20" customHeight="1">
      <c r="A31" s="3" t="inlineStr">
        <is>
          <t>Время окупаемости спреда (часы)</t>
        </is>
      </c>
      <c r="B31" s="12">
        <f>IF(B28&gt;=0, 0, ABS(B28)/(B29/24))</f>
        <v/>
      </c>
      <c r="C31" s="5" t="inlineStr">
        <is>
          <t>За сколько часов фандинг отобьет минусовой спред на входе</t>
        </is>
      </c>
    </row>
    <row r="32" ht="20" customHeight="1">
      <c r="A32" s="3" t="inlineStr">
        <is>
          <t>Оценка риска ликвидности</t>
        </is>
      </c>
      <c r="B32" s="13">
        <f>IF(OR(B24&gt;0.01, B25&gt;0.002), "ВЫСОКИЙ (крупный объем)", "Низкий (Безопасно)")</f>
        <v/>
      </c>
      <c r="C32" s="5" t="inlineStr">
        <is>
          <t>Проверка объема позиции к ликвидности стакана</t>
        </is>
      </c>
    </row>
    <row r="33" ht="20" customHeight="1">
      <c r="A33" s="3" t="inlineStr">
        <is>
          <t>Оценка спреда в стакане</t>
        </is>
      </c>
      <c r="B33" s="13">
        <f>IF(OR(B19&gt;0.002, B20&gt;0.002), "ПЛОХОЙ (проскальзывание)", "Отличный (Маленький)")</f>
        <v/>
      </c>
      <c r="C33" s="5" t="inlineStr">
        <is>
          <t>Проверка плотности ордеров в стаканах обеих бирж</t>
        </is>
      </c>
    </row>
    <row r="34" ht="10" customHeight="1"/>
    <row r="35" ht="24" customHeight="1">
      <c r="A35" s="2" t="inlineStr">
        <is>
          <t>3. АВТОМАТИЧЕСКИЙ ВЕРДИКТ</t>
        </is>
      </c>
    </row>
    <row r="36" ht="30" customHeight="1">
      <c r="A36" s="14" t="inlineStr">
        <is>
          <t>Решение по сделке:</t>
        </is>
      </c>
      <c r="B36" s="15">
        <f>IF(AND(B32="Низкий (Безопасно)", B33="Отличный (Маленький)", B31&lt;=12), "🟢 Входить в сделку", "🔴 Пропустить (Высокий риск или долгая окупаемость)")</f>
        <v/>
      </c>
      <c r="C36" s="5" t="inlineStr">
        <is>
          <t>Сделка одобряется, если ликвидность безопасна, спред в стакане узкий и окупаемость входа &lt; 12 часов</t>
        </is>
      </c>
    </row>
  </sheetData>
  <mergeCells count="4">
    <mergeCell ref="A1:C1"/>
    <mergeCell ref="A18:C18"/>
    <mergeCell ref="A2:C2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2026-06-12T12:24:39Z</dcterms:created>
  <dcterms:modified xsi:type="dcterms:W3CDTF">2026-06-12T12:24:39Z</dcterms:modified>
</cp:coreProperties>
</file>